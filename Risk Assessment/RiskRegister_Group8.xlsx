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ristmasyoyo/Desktop/"/>
    </mc:Choice>
  </mc:AlternateContent>
  <xr:revisionPtr revIDLastSave="0" documentId="13_ncr:1_{BD521D64-FFB9-1E4B-A9FA-527CE7BF6312}" xr6:coauthVersionLast="47" xr6:coauthVersionMax="47" xr10:uidLastSave="{00000000-0000-0000-0000-000000000000}"/>
  <bookViews>
    <workbookView xWindow="4880" yWindow="1080" windowWidth="24520" windowHeight="15520" activeTab="2" xr2:uid="{00000000-000D-0000-FFFF-FFFF00000000}"/>
  </bookViews>
  <sheets>
    <sheet name="RiskRegister1" sheetId="1" r:id="rId1"/>
    <sheet name="RiskRegister2" sheetId="3" r:id="rId2"/>
    <sheet name="Heatmap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F6" i="4" a="1"/>
  <c r="F6" i="4" s="1"/>
  <c r="D6" i="4" a="1"/>
  <c r="D6" i="4" s="1"/>
  <c r="E6" i="4" a="1"/>
  <c r="E6" i="4" s="1"/>
  <c r="G6" i="4" a="1"/>
  <c r="G6" i="4" s="1"/>
  <c r="H6" i="4" a="1"/>
  <c r="H6" i="4" s="1"/>
  <c r="I6" i="4" a="1"/>
  <c r="I6" i="4" s="1"/>
  <c r="G4" i="4" a="1"/>
  <c r="G4" i="4" s="1"/>
  <c r="G3" i="4" a="1"/>
  <c r="G3" i="4" s="1"/>
  <c r="E3" i="4" a="1"/>
  <c r="E3" i="4" s="1"/>
  <c r="D3" i="4" a="1"/>
  <c r="D3" i="4" s="1"/>
  <c r="F3" i="4" a="1"/>
  <c r="F3" i="4" s="1"/>
  <c r="H3" i="4" a="1"/>
  <c r="H3" i="4" s="1"/>
  <c r="I3" i="4" a="1"/>
  <c r="I3" i="4" s="1"/>
  <c r="D4" i="4" a="1"/>
  <c r="D4" i="4" s="1"/>
  <c r="E4" i="4" a="1"/>
  <c r="E4" i="4" s="1"/>
  <c r="F4" i="4" a="1"/>
  <c r="F4" i="4" s="1"/>
  <c r="H4" i="4" a="1"/>
  <c r="H4" i="4" s="1"/>
  <c r="I4" i="4" a="1"/>
  <c r="I4" i="4" s="1"/>
  <c r="D5" i="4" a="1"/>
  <c r="D5" i="4" s="1"/>
  <c r="E5" i="4" a="1"/>
  <c r="E5" i="4" s="1"/>
  <c r="F5" i="4" a="1"/>
  <c r="F5" i="4" s="1"/>
  <c r="G5" i="4" a="1"/>
  <c r="G5" i="4" s="1"/>
  <c r="H5" i="4" a="1"/>
  <c r="H5" i="4" s="1"/>
  <c r="I5" i="4" a="1"/>
  <c r="I5" i="4" s="1"/>
  <c r="D7" i="4" a="1"/>
  <c r="D7" i="4" s="1"/>
  <c r="E7" i="4" a="1"/>
  <c r="E7" i="4" s="1"/>
  <c r="F7" i="4" a="1"/>
  <c r="F7" i="4" s="1"/>
  <c r="G7" i="4" a="1"/>
  <c r="G7" i="4" s="1"/>
  <c r="H7" i="4" a="1"/>
  <c r="H7" i="4" s="1"/>
  <c r="I7" i="4" a="1"/>
  <c r="I7" i="4" s="1"/>
  <c r="E2" i="4" a="1"/>
  <c r="E2" i="4" s="1"/>
  <c r="F2" i="4" a="1"/>
  <c r="F2" i="4" s="1"/>
  <c r="G2" i="4" a="1"/>
  <c r="G2" i="4" s="1"/>
  <c r="H2" i="4" a="1"/>
  <c r="H2" i="4" s="1"/>
  <c r="I2" i="4" a="1"/>
  <c r="I2" i="4" s="1"/>
  <c r="D2" i="4" a="1"/>
  <c r="D2" i="4" s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4" i="1"/>
  <c r="I3" i="1"/>
  <c r="I17" i="1"/>
  <c r="I16" i="1"/>
  <c r="I15" i="1"/>
  <c r="I14" i="1"/>
  <c r="I5" i="1"/>
  <c r="I6" i="1"/>
  <c r="I7" i="1"/>
  <c r="I8" i="1"/>
  <c r="I9" i="1"/>
  <c r="I10" i="1"/>
  <c r="I11" i="1"/>
  <c r="I12" i="1"/>
  <c r="I13" i="1"/>
  <c r="I2" i="1"/>
  <c r="J2" i="4" l="1" a="1"/>
  <c r="J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<sst xmlns="http://schemas.openxmlformats.org/spreadsheetml/2006/main" count="330" uniqueCount="234">
  <si>
    <t>Risk #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</si>
  <si>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</si>
  <si>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</si>
  <si>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</si>
  <si>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</si>
  <si>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</si>
  <si>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</si>
  <si>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</si>
  <si>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</si>
  <si>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</si>
  <si>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</si>
  <si>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</si>
  <si>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</si>
  <si>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Need to upgrade systems to support operations</t>
  </si>
  <si>
    <t>Increased project costs</t>
  </si>
  <si>
    <t>Financial pressure</t>
  </si>
  <si>
    <t>IT Manager</t>
  </si>
  <si>
    <t>Dissatisfaction due to delivery delays</t>
  </si>
  <si>
    <t>Operations Manager</t>
  </si>
  <si>
    <t>Reduced profit margins</t>
  </si>
  <si>
    <t>Supply Chain Manager</t>
  </si>
  <si>
    <t>Data integration across fulfillment platforms</t>
  </si>
  <si>
    <t>Marketing Manager</t>
  </si>
  <si>
    <t>Loss of competitive advantage</t>
  </si>
  <si>
    <t>Compliance risk related to customer data and shipping regulations</t>
  </si>
  <si>
    <t>High</t>
  </si>
  <si>
    <t>Moderate</t>
  </si>
  <si>
    <t>Low</t>
  </si>
  <si>
    <t>Vendor switching costs for logistics service providers</t>
  </si>
  <si>
    <t>Dependence on external logistics vendors</t>
  </si>
  <si>
    <t>Negotiate long-term vendor contracts</t>
  </si>
  <si>
    <t>Procurement Manager</t>
  </si>
  <si>
    <t>Process adjustments in fulfillment workflow</t>
  </si>
  <si>
    <t>Operational disruption</t>
  </si>
  <si>
    <t>Limited competitive pressure from small platforms</t>
  </si>
  <si>
    <t>Continue logistics innovation</t>
  </si>
  <si>
    <t>Strategy Manager</t>
  </si>
  <si>
    <t>End-to-end commerce solution improving user experience</t>
  </si>
  <si>
    <t>Improved service delivery</t>
  </si>
  <si>
    <t>Customer Experience Manager</t>
  </si>
  <si>
    <t>Regulatory reporting requirements for logistics operations</t>
  </si>
  <si>
    <t>Government reporting obligations</t>
  </si>
  <si>
    <t>Compliance workload</t>
  </si>
  <si>
    <t>Administrative burden</t>
  </si>
  <si>
    <t>Compliance Officer</t>
  </si>
  <si>
    <t>Infrastructure upgrade costs for logistics technology</t>
  </si>
  <si>
    <t>Limited human capital to support logistics operations</t>
  </si>
  <si>
    <t>Operational capacity constraints</t>
  </si>
  <si>
    <t>Recruit and train logistics staff</t>
  </si>
  <si>
    <t>HR Manager</t>
  </si>
  <si>
    <t>Competitor promotional campaigns</t>
  </si>
  <si>
    <t>Loss of potential merchants</t>
  </si>
  <si>
    <t>Competitive pressure</t>
  </si>
  <si>
    <t>Platform maintenance and system updates</t>
  </si>
  <si>
    <t>Schedule maintenance during off-peak hours</t>
  </si>
  <si>
    <t>IT Operations Manager</t>
  </si>
  <si>
    <t>Contract compliance review with logistics partners</t>
  </si>
  <si>
    <t>Operational review requirements</t>
  </si>
  <si>
    <t>Third-party warehouse and delivery partner dependency</t>
  </si>
  <si>
    <t>Competitors introducing improved fulfillment capabilities</t>
  </si>
  <si>
    <t>System scalability limitations during high order volumes</t>
  </si>
  <si>
    <t>Transparency requirements for logistics data reporting</t>
  </si>
  <si>
    <t>Logistics operating costs in human capital and warehouse infrastructure</t>
  </si>
  <si>
    <t>Integration between logistics systems and e-commerce platform</t>
  </si>
  <si>
    <t>Competitors offering faster or lower-cost fulfillment services</t>
  </si>
  <si>
    <t>Contract disputes with logistics providers</t>
  </si>
  <si>
    <t>Margin reduction due to price competition</t>
  </si>
  <si>
    <t>Fulfillment network disruption during peak demand periods</t>
  </si>
  <si>
    <t>Cost of lagging behind competitors with advanced logistics networks</t>
  </si>
  <si>
    <t>Logistic system and service failure affecting user experience</t>
  </si>
  <si>
    <t>Platform performance failure affecting order processing</t>
  </si>
  <si>
    <t>Regulatory changes affecting cross-border shipping</t>
  </si>
  <si>
    <t>Capital investment in logistics infrastructure</t>
  </si>
  <si>
    <t>System failure or fulfillment network downtime</t>
  </si>
  <si>
    <t>Strong market competition from platforms with mature logistics networks</t>
  </si>
  <si>
    <t>Data privacy breaches affecting user trust</t>
  </si>
  <si>
    <t>Large-scale logistics platform outage</t>
  </si>
  <si>
    <t>Slow fulfillment performance</t>
  </si>
  <si>
    <t>Efficient competitor logistics networks</t>
  </si>
  <si>
    <t>Competitors with mature fulfillment systems</t>
  </si>
  <si>
    <t>Operational or technical disruptions</t>
  </si>
  <si>
    <t>Warehouse and technology expansion</t>
  </si>
  <si>
    <t>Major system failure</t>
  </si>
  <si>
    <t>Privacy and shipping regulations</t>
  </si>
  <si>
    <t>Coordination challenges</t>
  </si>
  <si>
    <t>Reduced competitive advantage</t>
  </si>
  <si>
    <t>Customer complaints</t>
  </si>
  <si>
    <t>System slowdowns</t>
  </si>
  <si>
    <t>Data inconsistencies</t>
  </si>
  <si>
    <t>Competitive disadvantage</t>
  </si>
  <si>
    <t>Delivery errors</t>
  </si>
  <si>
    <t>Compliance adjustments</t>
  </si>
  <si>
    <t>Large capital expenditure</t>
  </si>
  <si>
    <t>Fulfillment interruption</t>
  </si>
  <si>
    <t>Compliance violations</t>
  </si>
  <si>
    <t>Administrative costs</t>
  </si>
  <si>
    <t>Financial strain</t>
  </si>
  <si>
    <t>Supply chain vulnerability</t>
  </si>
  <si>
    <t>Market share pressure</t>
  </si>
  <si>
    <t>Reputation damage</t>
  </si>
  <si>
    <t>Technical inefficiency</t>
  </si>
  <si>
    <t>Operational complexity</t>
  </si>
  <si>
    <t>Service inefficiencies</t>
  </si>
  <si>
    <t>Operational errors</t>
  </si>
  <si>
    <t>Legal costs</t>
  </si>
  <si>
    <t>Profit decline</t>
  </si>
  <si>
    <t>Customer dissatisfaction</t>
  </si>
  <si>
    <t>Merchant migration risk</t>
  </si>
  <si>
    <t>Brand reputation damage</t>
  </si>
  <si>
    <t>Loss of market share</t>
  </si>
  <si>
    <t>Reputational damage</t>
  </si>
  <si>
    <t>Severe operational disruption</t>
  </si>
  <si>
    <t>Diversify logistics partners</t>
  </si>
  <si>
    <t>Improve delivery performance</t>
  </si>
  <si>
    <t>IT Infrastructure Manager</t>
  </si>
  <si>
    <t>Technology Director</t>
  </si>
  <si>
    <t>Strengthen contract management</t>
  </si>
  <si>
    <t>Legal Manager</t>
  </si>
  <si>
    <t>Finance Manager</t>
  </si>
  <si>
    <t>Invest in logistics innovation</t>
  </si>
  <si>
    <t>Strategy Director</t>
  </si>
  <si>
    <t>Monitor regulatory updates</t>
  </si>
  <si>
    <t>Finance Director</t>
  </si>
  <si>
    <t>Security Manager</t>
  </si>
  <si>
    <t>Transition and integration costs</t>
  </si>
  <si>
    <t>Expansion of logistics operations</t>
  </si>
  <si>
    <t>Higher operating expenses</t>
  </si>
  <si>
    <t>Competitors offering lower fulfillment prices</t>
  </si>
  <si>
    <t>Pressure to reduce pricing</t>
  </si>
  <si>
    <t>Implementation of new logistics processes</t>
  </si>
  <si>
    <t>Reduced operational efficiency</t>
  </si>
  <si>
    <t>Shortage of logistics workforce</t>
  </si>
  <si>
    <t>Reduced fulfillment efficiency</t>
  </si>
  <si>
    <t>Reliance on external logistics providers</t>
  </si>
  <si>
    <t>Complex integration between systems</t>
  </si>
  <si>
    <t>High order volumes exceeding logistics capacity</t>
  </si>
  <si>
    <t>Delayed order fulfillment</t>
  </si>
  <si>
    <t>Operational or technical breakdown</t>
  </si>
  <si>
    <t>Small competitors lacking logistics capabilities</t>
  </si>
  <si>
    <t>Minimal market disruption</t>
  </si>
  <si>
    <t>Positive market position</t>
  </si>
  <si>
    <t>Aggressive competitor marketing</t>
  </si>
  <si>
    <t>Competitors investing in logistics technology</t>
  </si>
  <si>
    <t>Price and service pressure</t>
  </si>
  <si>
    <t>Competitors such as Amazon</t>
  </si>
  <si>
    <t>Integrated commerce platform</t>
  </si>
  <si>
    <t>Positive brand reputation</t>
  </si>
  <si>
    <t>Cybersecurity vulnerabilities</t>
  </si>
  <si>
    <t>Exposure of user data</t>
  </si>
  <si>
    <t>Routine system updates</t>
  </si>
  <si>
    <t>Temporary service downtime</t>
  </si>
  <si>
    <t>Operational inconvenience</t>
  </si>
  <si>
    <t>Rapid growth in order demand</t>
  </si>
  <si>
    <t>Multiple logistics systems exchanging data</t>
  </si>
  <si>
    <t>System overload or technical failure</t>
  </si>
  <si>
    <t>Order processing delays</t>
  </si>
  <si>
    <t>Fulfillment operations halted</t>
  </si>
  <si>
    <t>Vendor contractual obligations</t>
  </si>
  <si>
    <t>Regulatory transparency requirements</t>
  </si>
  <si>
    <t>Disagreements over service agreements</t>
  </si>
  <si>
    <t>New trade and shipping regulations</t>
  </si>
  <si>
    <t>Operational cost increases</t>
  </si>
  <si>
    <t>Legal penalties and fines</t>
  </si>
  <si>
    <t>Plan phased IT upgrades and control spending</t>
  </si>
  <si>
    <t>Automate warehouse operations and optimize labor</t>
  </si>
  <si>
    <t>Supply Chain Manager / HR</t>
  </si>
  <si>
    <t>Improve cost efficiency and pricing strategy</t>
  </si>
  <si>
    <t>Phase logistics infrastructure investment</t>
  </si>
  <si>
    <t>Train staff and standardize workflows</t>
  </si>
  <si>
    <t>Conduct phased system integration</t>
  </si>
  <si>
    <t>Improve demand forecasting and warehouse capacity</t>
  </si>
  <si>
    <t>Logistics Manager</t>
  </si>
  <si>
    <t>Implement redundancy and disaster recovery systems</t>
  </si>
  <si>
    <t>Strengthen merchant marketing programs</t>
  </si>
  <si>
    <t>Enhance fulfillment capabilities</t>
  </si>
  <si>
    <t>Improve logistics efficiency</t>
  </si>
  <si>
    <t>Strengthen logistics ecosystem and merchant support</t>
  </si>
  <si>
    <t>Maintain service reliability</t>
  </si>
  <si>
    <t>Strengthen monitoring and service recovery</t>
  </si>
  <si>
    <t>Implement strong cybersecurity controls</t>
  </si>
  <si>
    <t>Upgrade infrastructure capacity</t>
  </si>
  <si>
    <t>Improve system integration architecture</t>
  </si>
  <si>
    <t>Increase server capacity and load balancing</t>
  </si>
  <si>
    <t>Implement redundancy and failover systems</t>
  </si>
  <si>
    <t>Maintain compliance reporting systems</t>
  </si>
  <si>
    <t>Conduct regular contract audits</t>
  </si>
  <si>
    <t>Implement data governance policies</t>
  </si>
  <si>
    <t>Implement compliance audits</t>
  </si>
  <si>
    <t>Risk1</t>
  </si>
  <si>
    <t>Risk2</t>
  </si>
  <si>
    <t>Risk3</t>
  </si>
  <si>
    <t>Risk4</t>
  </si>
  <si>
    <t>Risk5</t>
  </si>
  <si>
    <t>Risk6</t>
  </si>
  <si>
    <t>Risk7</t>
  </si>
  <si>
    <t>Risk8</t>
  </si>
  <si>
    <t>Risk9</t>
  </si>
  <si>
    <t>Risk10</t>
  </si>
  <si>
    <t>Risk11</t>
  </si>
  <si>
    <t>Risk12</t>
  </si>
  <si>
    <t>Risk13</t>
  </si>
  <si>
    <t>Risk14</t>
  </si>
  <si>
    <t>Risk15</t>
  </si>
  <si>
    <t>Risk16</t>
  </si>
  <si>
    <t>Risk17</t>
  </si>
  <si>
    <t>Risk18</t>
  </si>
  <si>
    <t>Risk19</t>
  </si>
  <si>
    <t>Risk20</t>
  </si>
  <si>
    <t>Risk21</t>
  </si>
  <si>
    <t>Risk22</t>
  </si>
  <si>
    <t>Risk23</t>
  </si>
  <si>
    <t>Risk24</t>
  </si>
  <si>
    <t>Risk25</t>
  </si>
  <si>
    <t>Risk26</t>
  </si>
  <si>
    <t>Risk27</t>
  </si>
  <si>
    <t>Risk28</t>
  </si>
  <si>
    <t>Risk29</t>
  </si>
  <si>
    <t>Risk30</t>
  </si>
  <si>
    <t>Risk31</t>
  </si>
  <si>
    <t>Risk32</t>
  </si>
  <si>
    <t>Threholds</t>
  </si>
  <si>
    <t>1 - 15</t>
  </si>
  <si>
    <t>Level</t>
  </si>
  <si>
    <t>Color</t>
  </si>
  <si>
    <t>Low Risk</t>
  </si>
  <si>
    <t>Medium Risk</t>
  </si>
  <si>
    <t>High Risk</t>
  </si>
  <si>
    <t>Green</t>
  </si>
  <si>
    <t>Yellow</t>
  </si>
  <si>
    <t>Red</t>
  </si>
  <si>
    <t>Impact</t>
  </si>
  <si>
    <t>Likelihood</t>
  </si>
  <si>
    <t>36-81</t>
  </si>
  <si>
    <t>16-35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</si>
</sst>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8"/>
      <color rgb="FF000000"/>
      <name val="Calibri"/>
      <family val="2"/>
    </font>
    <font>
      <sz val="7"/>
      <color rgb="FF000000"/>
      <name val="Calibri"/>
      <family val="2"/>
    </font>
    <font>
      <sz val="14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1"/>
      <color rgb="FF00B050"/>
      <name val="Arial"/>
      <family val="2"/>
    </font>
    <font>
      <b/>
      <sz val="11"/>
      <color rgb="FFFFFF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vertical="top"/>
    </xf>
    <xf numFmtId="0" fontId="3" fillId="4" borderId="1" xfId="0" applyFont="1" applyFill="1" applyBorder="1" applyAlignment="1">
      <alignment horizontal="right" vertical="top" wrapText="1" readingOrder="1"/>
    </xf>
    <xf numFmtId="14" fontId="4" fillId="4" borderId="1" xfId="0" applyNumberFormat="1" applyFont="1" applyFill="1" applyBorder="1" applyAlignment="1">
      <alignment horizontal="righ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0" borderId="2" xfId="0" applyBorder="1"/>
    <xf numFmtId="0" fontId="0" fillId="6" borderId="2" xfId="0" applyFill="1" applyBorder="1"/>
    <xf numFmtId="0" fontId="0" fillId="7" borderId="2" xfId="0" applyFill="1" applyBorder="1"/>
    <xf numFmtId="0" fontId="0" fillId="5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9" fillId="0" borderId="4" xfId="0" applyFont="1" applyBorder="1" applyAlignment="1">
      <alignment horizontal="center" vertical="center" textRotation="255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255"/>
    </xf>
    <xf numFmtId="0" fontId="8" fillId="0" borderId="9" xfId="0" applyFont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textRotation="255"/>
    </xf>
    <xf numFmtId="0" fontId="12" fillId="0" borderId="10" xfId="0" applyFont="1" applyBorder="1" applyAlignment="1">
      <alignment horizontal="center" vertical="center" textRotation="255"/>
    </xf>
    <xf numFmtId="0" fontId="11" fillId="0" borderId="10" xfId="0" applyFont="1" applyBorder="1" applyAlignment="1">
      <alignment horizontal="center" vertical="center" textRotation="255"/>
    </xf>
    <xf numFmtId="0" fontId="11" fillId="0" borderId="9" xfId="0" applyFont="1" applyBorder="1" applyAlignment="1">
      <alignment horizontal="center" vertical="center" textRotation="255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opLeftCell="A28" zoomScale="85" workbookViewId="0">
      <selection activeCell="J5" sqref="J5"/>
    </sheetView>
  </sheetViews>
  <sheetFormatPr baseColWidth="10" defaultColWidth="12.6640625" defaultRowHeight="15" customHeight="1" x14ac:dyDescent="0.15"/>
  <cols>
    <col min="1" max="1" width="5.6640625" customWidth="1"/>
    <col min="2" max="2" width="4.6640625" customWidth="1"/>
    <col min="3" max="3" width="26" customWidth="1"/>
    <col min="4" max="4" width="39.6640625" customWidth="1"/>
    <col min="5" max="5" width="36.5" customWidth="1"/>
    <col min="6" max="6" width="24.5" customWidth="1"/>
    <col min="7" max="7" width="9.1640625" customWidth="1"/>
    <col min="8" max="8" width="6.5" customWidth="1"/>
    <col min="9" max="9" width="5.5" customWidth="1"/>
    <col min="10" max="10" width="7.5" customWidth="1"/>
    <col min="11" max="11" width="9.1640625" customWidth="1"/>
    <col min="12" max="12" width="6.33203125" customWidth="1"/>
    <col min="13" max="13" width="14.33203125" customWidth="1"/>
    <col min="14" max="26" width="7.83203125" customWidth="1"/>
  </cols>
  <sheetData>
    <row r="1" spans="1:26" ht="5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" x14ac:dyDescent="0.15">
      <c r="A2" s="4">
        <v>1</v>
      </c>
      <c r="B2" s="5"/>
      <c r="C2" s="6" t="s">
        <v>45</v>
      </c>
      <c r="D2" s="6" t="s">
        <v>13</v>
      </c>
      <c r="E2" s="6" t="s">
        <v>14</v>
      </c>
      <c r="F2" s="6" t="s">
        <v>15</v>
      </c>
      <c r="G2" s="7">
        <v>3</v>
      </c>
      <c r="H2" s="7">
        <v>2</v>
      </c>
      <c r="I2" s="7">
        <f>G2*H2</f>
        <v>6</v>
      </c>
      <c r="J2" s="8" t="str">
        <f>IF($I2&lt;=15,"L",IF($I2&lt;=35,"M","H"))</f>
        <v>L</v>
      </c>
      <c r="K2" s="8" t="s">
        <v>163</v>
      </c>
      <c r="L2" s="8" t="s">
        <v>16</v>
      </c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0" x14ac:dyDescent="0.15">
      <c r="A3" s="4">
        <v>2</v>
      </c>
      <c r="B3" s="9"/>
      <c r="C3" s="6" t="s">
        <v>28</v>
      </c>
      <c r="D3" s="6" t="s">
        <v>29</v>
      </c>
      <c r="E3" s="6" t="s">
        <v>124</v>
      </c>
      <c r="F3" s="6" t="s">
        <v>96</v>
      </c>
      <c r="G3" s="7">
        <v>3</v>
      </c>
      <c r="H3" s="7">
        <v>4</v>
      </c>
      <c r="I3" s="7">
        <f t="shared" ref="I3" si="0">G3*H3</f>
        <v>12</v>
      </c>
      <c r="J3" s="8" t="str">
        <f>IF($I3&lt;=15,"L",IF($I3&lt;=35,"M","H"))</f>
        <v>L</v>
      </c>
      <c r="K3" s="8" t="s">
        <v>30</v>
      </c>
      <c r="L3" s="8" t="s">
        <v>31</v>
      </c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0" x14ac:dyDescent="0.15">
      <c r="A4" s="4">
        <v>3</v>
      </c>
      <c r="B4" s="9"/>
      <c r="C4" s="6" t="s">
        <v>62</v>
      </c>
      <c r="D4" s="6" t="s">
        <v>125</v>
      </c>
      <c r="E4" s="6" t="s">
        <v>126</v>
      </c>
      <c r="F4" s="6" t="s">
        <v>19</v>
      </c>
      <c r="G4" s="7">
        <v>5</v>
      </c>
      <c r="H4" s="7">
        <v>6</v>
      </c>
      <c r="I4" s="7">
        <f t="shared" ref="I4" si="1">G4*H4</f>
        <v>30</v>
      </c>
      <c r="J4" s="8" t="str">
        <f t="shared" ref="J4:J33" si="2">IF($I4&lt;=15,"L",IF($I4&lt;=35,"M","H"))</f>
        <v>M</v>
      </c>
      <c r="K4" s="8" t="s">
        <v>164</v>
      </c>
      <c r="L4" s="8" t="s">
        <v>165</v>
      </c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0" x14ac:dyDescent="0.15">
      <c r="A5" s="4">
        <v>4</v>
      </c>
      <c r="B5" s="9"/>
      <c r="C5" s="6" t="s">
        <v>66</v>
      </c>
      <c r="D5" s="6" t="s">
        <v>127</v>
      </c>
      <c r="E5" s="6" t="s">
        <v>128</v>
      </c>
      <c r="F5" s="6" t="s">
        <v>105</v>
      </c>
      <c r="G5" s="7">
        <v>9</v>
      </c>
      <c r="H5" s="7">
        <v>8</v>
      </c>
      <c r="I5" s="7">
        <f t="shared" ref="I5:I13" si="3">G5*H5</f>
        <v>72</v>
      </c>
      <c r="J5" s="8" t="str">
        <f t="shared" si="2"/>
        <v>H</v>
      </c>
      <c r="K5" s="8" t="s">
        <v>166</v>
      </c>
      <c r="L5" s="8" t="s">
        <v>118</v>
      </c>
      <c r="M5" s="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0" x14ac:dyDescent="0.15">
      <c r="A6" s="4">
        <v>5</v>
      </c>
      <c r="B6" s="9"/>
      <c r="C6" s="6" t="s">
        <v>72</v>
      </c>
      <c r="D6" s="6" t="s">
        <v>81</v>
      </c>
      <c r="E6" s="6" t="s">
        <v>92</v>
      </c>
      <c r="F6" s="6" t="s">
        <v>15</v>
      </c>
      <c r="G6" s="7">
        <v>5</v>
      </c>
      <c r="H6" s="7">
        <v>9</v>
      </c>
      <c r="I6" s="7">
        <f t="shared" si="3"/>
        <v>45</v>
      </c>
      <c r="J6" s="8" t="str">
        <f t="shared" si="2"/>
        <v>H</v>
      </c>
      <c r="K6" s="8" t="s">
        <v>167</v>
      </c>
      <c r="L6" s="8" t="s">
        <v>122</v>
      </c>
      <c r="M6" s="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0" x14ac:dyDescent="0.15">
      <c r="A7" s="4">
        <v>6</v>
      </c>
      <c r="B7" s="9"/>
      <c r="C7" s="6" t="s">
        <v>32</v>
      </c>
      <c r="D7" s="6" t="s">
        <v>129</v>
      </c>
      <c r="E7" s="6" t="s">
        <v>33</v>
      </c>
      <c r="F7" s="6" t="s">
        <v>130</v>
      </c>
      <c r="G7" s="7">
        <v>3</v>
      </c>
      <c r="H7" s="7">
        <v>1</v>
      </c>
      <c r="I7" s="7">
        <f t="shared" si="3"/>
        <v>3</v>
      </c>
      <c r="J7" s="8" t="str">
        <f t="shared" si="2"/>
        <v>L</v>
      </c>
      <c r="K7" s="8" t="s">
        <v>168</v>
      </c>
      <c r="L7" s="8" t="s">
        <v>18</v>
      </c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60" x14ac:dyDescent="0.15">
      <c r="A8" s="4">
        <v>7</v>
      </c>
      <c r="B8" s="9"/>
      <c r="C8" s="6" t="s">
        <v>46</v>
      </c>
      <c r="D8" s="6" t="s">
        <v>131</v>
      </c>
      <c r="E8" s="6" t="s">
        <v>47</v>
      </c>
      <c r="F8" s="6" t="s">
        <v>132</v>
      </c>
      <c r="G8" s="7">
        <v>5</v>
      </c>
      <c r="H8" s="7">
        <v>2</v>
      </c>
      <c r="I8" s="7">
        <f t="shared" si="3"/>
        <v>10</v>
      </c>
      <c r="J8" s="8" t="str">
        <f t="shared" si="2"/>
        <v>L</v>
      </c>
      <c r="K8" s="8" t="s">
        <v>48</v>
      </c>
      <c r="L8" s="8" t="s">
        <v>49</v>
      </c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60" x14ac:dyDescent="0.15">
      <c r="A9" s="4">
        <v>8</v>
      </c>
      <c r="B9" s="9"/>
      <c r="C9" s="6" t="s">
        <v>58</v>
      </c>
      <c r="D9" s="6" t="s">
        <v>133</v>
      </c>
      <c r="E9" s="6" t="s">
        <v>84</v>
      </c>
      <c r="F9" s="6" t="s">
        <v>97</v>
      </c>
      <c r="G9" s="7">
        <v>5</v>
      </c>
      <c r="H9" s="7">
        <v>4</v>
      </c>
      <c r="I9" s="7">
        <f t="shared" si="3"/>
        <v>20</v>
      </c>
      <c r="J9" s="8" t="str">
        <f t="shared" si="2"/>
        <v>M</v>
      </c>
      <c r="K9" s="8" t="s">
        <v>112</v>
      </c>
      <c r="L9" s="8" t="s">
        <v>20</v>
      </c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0" x14ac:dyDescent="0.15">
      <c r="A10" s="4">
        <v>9</v>
      </c>
      <c r="B10" s="9"/>
      <c r="C10" s="6" t="s">
        <v>63</v>
      </c>
      <c r="D10" s="6" t="s">
        <v>134</v>
      </c>
      <c r="E10" s="6" t="s">
        <v>33</v>
      </c>
      <c r="F10" s="6" t="s">
        <v>102</v>
      </c>
      <c r="G10" s="7">
        <v>7</v>
      </c>
      <c r="H10" s="7">
        <v>6</v>
      </c>
      <c r="I10" s="7">
        <f t="shared" si="3"/>
        <v>42</v>
      </c>
      <c r="J10" s="8" t="str">
        <f t="shared" si="2"/>
        <v>H</v>
      </c>
      <c r="K10" s="8" t="s">
        <v>169</v>
      </c>
      <c r="L10" s="8" t="s">
        <v>115</v>
      </c>
      <c r="M10" s="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0" x14ac:dyDescent="0.15">
      <c r="A11" s="4">
        <v>10</v>
      </c>
      <c r="B11" s="9"/>
      <c r="C11" s="6" t="s">
        <v>67</v>
      </c>
      <c r="D11" s="6" t="s">
        <v>135</v>
      </c>
      <c r="E11" s="6" t="s">
        <v>136</v>
      </c>
      <c r="F11" s="6" t="s">
        <v>106</v>
      </c>
      <c r="G11" s="7">
        <v>7</v>
      </c>
      <c r="H11" s="7">
        <v>8</v>
      </c>
      <c r="I11" s="7">
        <f t="shared" si="3"/>
        <v>56</v>
      </c>
      <c r="J11" s="8" t="str">
        <f t="shared" si="2"/>
        <v>H</v>
      </c>
      <c r="K11" s="8" t="s">
        <v>170</v>
      </c>
      <c r="L11" s="8" t="s">
        <v>171</v>
      </c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0" x14ac:dyDescent="0.15">
      <c r="A12" s="4">
        <v>11</v>
      </c>
      <c r="B12" s="9"/>
      <c r="C12" s="6" t="s">
        <v>73</v>
      </c>
      <c r="D12" s="6" t="s">
        <v>137</v>
      </c>
      <c r="E12" s="6" t="s">
        <v>93</v>
      </c>
      <c r="F12" s="6" t="s">
        <v>33</v>
      </c>
      <c r="G12" s="7">
        <v>3</v>
      </c>
      <c r="H12" s="7">
        <v>9</v>
      </c>
      <c r="I12" s="7">
        <f t="shared" si="3"/>
        <v>27</v>
      </c>
      <c r="J12" s="8" t="str">
        <f t="shared" si="2"/>
        <v>M</v>
      </c>
      <c r="K12" s="8" t="s">
        <v>172</v>
      </c>
      <c r="L12" s="8" t="s">
        <v>55</v>
      </c>
      <c r="M12" s="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0" x14ac:dyDescent="0.15">
      <c r="A13" s="4">
        <v>12</v>
      </c>
      <c r="B13" s="9"/>
      <c r="C13" s="6" t="s">
        <v>34</v>
      </c>
      <c r="D13" s="6" t="s">
        <v>138</v>
      </c>
      <c r="E13" s="6" t="s">
        <v>139</v>
      </c>
      <c r="F13" s="6" t="s">
        <v>140</v>
      </c>
      <c r="G13" s="7">
        <v>3</v>
      </c>
      <c r="H13" s="7">
        <v>1</v>
      </c>
      <c r="I13" s="7">
        <f t="shared" si="3"/>
        <v>3</v>
      </c>
      <c r="J13" s="8" t="str">
        <f t="shared" si="2"/>
        <v>L</v>
      </c>
      <c r="K13" s="8" t="s">
        <v>35</v>
      </c>
      <c r="L13" s="8" t="s">
        <v>36</v>
      </c>
      <c r="M13" s="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4" x14ac:dyDescent="0.15">
      <c r="A14" s="4">
        <v>13</v>
      </c>
      <c r="B14" s="9"/>
      <c r="C14" s="6" t="s">
        <v>50</v>
      </c>
      <c r="D14" s="6" t="s">
        <v>141</v>
      </c>
      <c r="E14" s="6" t="s">
        <v>51</v>
      </c>
      <c r="F14" s="6" t="s">
        <v>52</v>
      </c>
      <c r="G14" s="7">
        <v>5</v>
      </c>
      <c r="H14" s="7">
        <v>2</v>
      </c>
      <c r="I14" s="7">
        <f t="shared" ref="I14:I27" si="4">G14*H14</f>
        <v>10</v>
      </c>
      <c r="J14" s="8" t="str">
        <f t="shared" si="2"/>
        <v>L</v>
      </c>
      <c r="K14" s="8" t="s">
        <v>173</v>
      </c>
      <c r="L14" s="8" t="s">
        <v>22</v>
      </c>
      <c r="M14" s="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60" x14ac:dyDescent="0.15">
      <c r="A15" s="4">
        <v>14</v>
      </c>
      <c r="B15" s="9"/>
      <c r="C15" s="6" t="s">
        <v>59</v>
      </c>
      <c r="D15" s="6" t="s">
        <v>142</v>
      </c>
      <c r="E15" s="6" t="s">
        <v>85</v>
      </c>
      <c r="F15" s="6" t="s">
        <v>98</v>
      </c>
      <c r="G15" s="7">
        <v>5</v>
      </c>
      <c r="H15" s="7">
        <v>4</v>
      </c>
      <c r="I15" s="7">
        <f t="shared" si="4"/>
        <v>20</v>
      </c>
      <c r="J15" s="8" t="str">
        <f t="shared" si="2"/>
        <v>M</v>
      </c>
      <c r="K15" s="8" t="s">
        <v>174</v>
      </c>
      <c r="L15" s="8" t="s">
        <v>36</v>
      </c>
      <c r="M15" s="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0" x14ac:dyDescent="0.15">
      <c r="A16" s="4">
        <v>15</v>
      </c>
      <c r="B16" s="9"/>
      <c r="C16" s="6" t="s">
        <v>64</v>
      </c>
      <c r="D16" s="6" t="s">
        <v>78</v>
      </c>
      <c r="E16" s="6" t="s">
        <v>143</v>
      </c>
      <c r="F16" s="6" t="s">
        <v>89</v>
      </c>
      <c r="G16" s="7">
        <v>7</v>
      </c>
      <c r="H16" s="7">
        <v>6</v>
      </c>
      <c r="I16" s="7">
        <f t="shared" si="4"/>
        <v>42</v>
      </c>
      <c r="J16" s="8" t="str">
        <f t="shared" si="2"/>
        <v>H</v>
      </c>
      <c r="K16" s="8" t="s">
        <v>175</v>
      </c>
      <c r="L16" s="8" t="s">
        <v>36</v>
      </c>
      <c r="M16" s="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80" x14ac:dyDescent="0.15">
      <c r="A17" s="4">
        <v>16</v>
      </c>
      <c r="B17" s="9"/>
      <c r="C17" s="6" t="s">
        <v>68</v>
      </c>
      <c r="D17" s="6" t="s">
        <v>79</v>
      </c>
      <c r="E17" s="6" t="s">
        <v>89</v>
      </c>
      <c r="F17" s="6" t="s">
        <v>107</v>
      </c>
      <c r="G17" s="7">
        <v>7</v>
      </c>
      <c r="H17" s="7">
        <v>8</v>
      </c>
      <c r="I17" s="7">
        <f t="shared" si="4"/>
        <v>56</v>
      </c>
      <c r="J17" s="8" t="str">
        <f t="shared" si="2"/>
        <v>H</v>
      </c>
      <c r="K17" s="8" t="s">
        <v>119</v>
      </c>
      <c r="L17" s="8" t="s">
        <v>120</v>
      </c>
      <c r="M17" s="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80" x14ac:dyDescent="0.15">
      <c r="A18" s="4">
        <v>17</v>
      </c>
      <c r="B18" s="9"/>
      <c r="C18" s="6" t="s">
        <v>74</v>
      </c>
      <c r="D18" s="6" t="s">
        <v>144</v>
      </c>
      <c r="E18" s="6" t="s">
        <v>23</v>
      </c>
      <c r="F18" s="6" t="s">
        <v>109</v>
      </c>
      <c r="G18" s="7">
        <v>9</v>
      </c>
      <c r="H18" s="7">
        <v>9</v>
      </c>
      <c r="I18" s="7">
        <f t="shared" si="4"/>
        <v>81</v>
      </c>
      <c r="J18" s="8" t="str">
        <f t="shared" si="2"/>
        <v>H</v>
      </c>
      <c r="K18" s="8" t="s">
        <v>176</v>
      </c>
      <c r="L18" s="8" t="s">
        <v>120</v>
      </c>
      <c r="M18" s="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60" x14ac:dyDescent="0.15">
      <c r="A19" s="4">
        <v>18</v>
      </c>
      <c r="B19" s="9"/>
      <c r="C19" s="6" t="s">
        <v>37</v>
      </c>
      <c r="D19" s="6" t="s">
        <v>145</v>
      </c>
      <c r="E19" s="6" t="s">
        <v>38</v>
      </c>
      <c r="F19" s="6" t="s">
        <v>146</v>
      </c>
      <c r="G19" s="7">
        <v>7</v>
      </c>
      <c r="H19" s="7">
        <v>1</v>
      </c>
      <c r="I19" s="7">
        <f t="shared" si="4"/>
        <v>7</v>
      </c>
      <c r="J19" s="8" t="str">
        <f t="shared" si="2"/>
        <v>L</v>
      </c>
      <c r="K19" s="8" t="s">
        <v>177</v>
      </c>
      <c r="L19" s="8" t="s">
        <v>39</v>
      </c>
      <c r="M19" s="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0" x14ac:dyDescent="0.15">
      <c r="A20" s="4">
        <v>19</v>
      </c>
      <c r="B20" s="9"/>
      <c r="C20" s="6" t="s">
        <v>17</v>
      </c>
      <c r="D20" s="6" t="s">
        <v>77</v>
      </c>
      <c r="E20" s="6" t="s">
        <v>86</v>
      </c>
      <c r="F20" s="6" t="s">
        <v>99</v>
      </c>
      <c r="G20" s="7">
        <v>5</v>
      </c>
      <c r="H20" s="7">
        <v>4</v>
      </c>
      <c r="I20" s="7">
        <f t="shared" si="4"/>
        <v>20</v>
      </c>
      <c r="J20" s="8" t="str">
        <f t="shared" si="2"/>
        <v>M</v>
      </c>
      <c r="K20" s="8" t="s">
        <v>113</v>
      </c>
      <c r="L20" s="8" t="s">
        <v>39</v>
      </c>
      <c r="M20" s="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60" x14ac:dyDescent="0.15">
      <c r="A21" s="4">
        <v>20</v>
      </c>
      <c r="B21" s="9"/>
      <c r="C21" s="6" t="s">
        <v>69</v>
      </c>
      <c r="D21" s="6" t="s">
        <v>80</v>
      </c>
      <c r="E21" s="6" t="s">
        <v>90</v>
      </c>
      <c r="F21" s="6" t="s">
        <v>108</v>
      </c>
      <c r="G21" s="7">
        <v>5</v>
      </c>
      <c r="H21" s="7">
        <v>8</v>
      </c>
      <c r="I21" s="7">
        <f t="shared" si="4"/>
        <v>40</v>
      </c>
      <c r="J21" s="8" t="str">
        <f t="shared" si="2"/>
        <v>H</v>
      </c>
      <c r="K21" s="8" t="s">
        <v>178</v>
      </c>
      <c r="L21" s="8" t="s">
        <v>55</v>
      </c>
      <c r="M21" s="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4" x14ac:dyDescent="0.15">
      <c r="A22" s="4">
        <v>21</v>
      </c>
      <c r="B22" s="9"/>
      <c r="C22" s="6" t="s">
        <v>75</v>
      </c>
      <c r="D22" s="6" t="s">
        <v>147</v>
      </c>
      <c r="E22" s="6" t="s">
        <v>148</v>
      </c>
      <c r="F22" s="6" t="s">
        <v>110</v>
      </c>
      <c r="G22" s="7">
        <v>5</v>
      </c>
      <c r="H22" s="7">
        <v>9</v>
      </c>
      <c r="I22" s="7">
        <f t="shared" si="4"/>
        <v>45</v>
      </c>
      <c r="J22" s="8" t="str">
        <f t="shared" si="2"/>
        <v>H</v>
      </c>
      <c r="K22" s="8" t="s">
        <v>179</v>
      </c>
      <c r="L22" s="8" t="s">
        <v>123</v>
      </c>
      <c r="M22" s="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4" x14ac:dyDescent="0.15">
      <c r="A23" s="4">
        <v>22</v>
      </c>
      <c r="B23" s="9"/>
      <c r="C23" s="6" t="s">
        <v>53</v>
      </c>
      <c r="D23" s="6" t="s">
        <v>149</v>
      </c>
      <c r="E23" s="6" t="s">
        <v>150</v>
      </c>
      <c r="F23" s="6" t="s">
        <v>151</v>
      </c>
      <c r="G23" s="7">
        <v>3</v>
      </c>
      <c r="H23" s="7">
        <v>2</v>
      </c>
      <c r="I23" s="7">
        <f t="shared" si="4"/>
        <v>6</v>
      </c>
      <c r="J23" s="8" t="str">
        <f t="shared" si="2"/>
        <v>L</v>
      </c>
      <c r="K23" s="8" t="s">
        <v>54</v>
      </c>
      <c r="L23" s="8" t="s">
        <v>16</v>
      </c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60" x14ac:dyDescent="0.15">
      <c r="A24" s="4">
        <v>23</v>
      </c>
      <c r="B24" s="9"/>
      <c r="C24" s="6" t="s">
        <v>60</v>
      </c>
      <c r="D24" s="6" t="s">
        <v>152</v>
      </c>
      <c r="E24" s="6" t="s">
        <v>87</v>
      </c>
      <c r="F24" s="6" t="s">
        <v>100</v>
      </c>
      <c r="G24" s="7">
        <v>7</v>
      </c>
      <c r="H24" s="7">
        <v>4</v>
      </c>
      <c r="I24" s="7">
        <f t="shared" si="4"/>
        <v>28</v>
      </c>
      <c r="J24" s="8" t="str">
        <f t="shared" si="2"/>
        <v>M</v>
      </c>
      <c r="K24" s="8" t="s">
        <v>180</v>
      </c>
      <c r="L24" s="8" t="s">
        <v>114</v>
      </c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0" x14ac:dyDescent="0.15">
      <c r="A25" s="4">
        <v>24</v>
      </c>
      <c r="B25" s="9"/>
      <c r="C25" s="6" t="s">
        <v>21</v>
      </c>
      <c r="D25" s="6" t="s">
        <v>153</v>
      </c>
      <c r="E25" s="6" t="s">
        <v>88</v>
      </c>
      <c r="F25" s="6" t="s">
        <v>103</v>
      </c>
      <c r="G25" s="7">
        <v>5</v>
      </c>
      <c r="H25" s="7">
        <v>6</v>
      </c>
      <c r="I25" s="7">
        <f t="shared" si="4"/>
        <v>30</v>
      </c>
      <c r="J25" s="8" t="str">
        <f t="shared" si="2"/>
        <v>M</v>
      </c>
      <c r="K25" s="8" t="s">
        <v>181</v>
      </c>
      <c r="L25" s="8" t="s">
        <v>16</v>
      </c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60" x14ac:dyDescent="0.15">
      <c r="A26" s="4">
        <v>25</v>
      </c>
      <c r="B26" s="9"/>
      <c r="C26" s="6" t="s">
        <v>70</v>
      </c>
      <c r="D26" s="6" t="s">
        <v>154</v>
      </c>
      <c r="E26" s="6" t="s">
        <v>155</v>
      </c>
      <c r="F26" s="6" t="s">
        <v>33</v>
      </c>
      <c r="G26" s="7">
        <v>5</v>
      </c>
      <c r="H26" s="7">
        <v>8</v>
      </c>
      <c r="I26" s="7">
        <f t="shared" si="4"/>
        <v>40</v>
      </c>
      <c r="J26" s="8" t="str">
        <f t="shared" si="2"/>
        <v>H</v>
      </c>
      <c r="K26" s="8" t="s">
        <v>182</v>
      </c>
      <c r="L26" s="8" t="s">
        <v>114</v>
      </c>
      <c r="M26" s="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" x14ac:dyDescent="0.15">
      <c r="A27" s="4">
        <v>26</v>
      </c>
      <c r="B27" s="9"/>
      <c r="C27" s="6" t="s">
        <v>76</v>
      </c>
      <c r="D27" s="6" t="s">
        <v>82</v>
      </c>
      <c r="E27" s="6" t="s">
        <v>156</v>
      </c>
      <c r="F27" s="6" t="s">
        <v>111</v>
      </c>
      <c r="G27" s="7">
        <v>1</v>
      </c>
      <c r="H27" s="7">
        <v>9</v>
      </c>
      <c r="I27" s="7">
        <f t="shared" si="4"/>
        <v>9</v>
      </c>
      <c r="J27" s="8" t="str">
        <f t="shared" si="2"/>
        <v>L</v>
      </c>
      <c r="K27" s="8" t="s">
        <v>183</v>
      </c>
      <c r="L27" s="8" t="s">
        <v>55</v>
      </c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60" x14ac:dyDescent="0.15">
      <c r="A28" s="4">
        <v>27</v>
      </c>
      <c r="B28" s="9"/>
      <c r="C28" s="6" t="s">
        <v>40</v>
      </c>
      <c r="D28" s="6" t="s">
        <v>41</v>
      </c>
      <c r="E28" s="6" t="s">
        <v>42</v>
      </c>
      <c r="F28" s="6" t="s">
        <v>43</v>
      </c>
      <c r="G28" s="7">
        <v>3</v>
      </c>
      <c r="H28" s="7">
        <v>1</v>
      </c>
      <c r="I28" s="7">
        <f t="shared" ref="I28" si="5">G28*H28</f>
        <v>3</v>
      </c>
      <c r="J28" s="8" t="str">
        <f t="shared" si="2"/>
        <v>L</v>
      </c>
      <c r="K28" s="8" t="s">
        <v>184</v>
      </c>
      <c r="L28" s="8" t="s">
        <v>44</v>
      </c>
      <c r="M28" s="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60" x14ac:dyDescent="0.15">
      <c r="A29" s="4">
        <v>28</v>
      </c>
      <c r="B29" s="9"/>
      <c r="C29" s="6" t="s">
        <v>56</v>
      </c>
      <c r="D29" s="6" t="s">
        <v>157</v>
      </c>
      <c r="E29" s="6" t="s">
        <v>57</v>
      </c>
      <c r="F29" s="6" t="s">
        <v>95</v>
      </c>
      <c r="G29" s="7">
        <v>3</v>
      </c>
      <c r="H29" s="7">
        <v>2</v>
      </c>
      <c r="I29" s="7">
        <f t="shared" ref="I29:I31" si="6">G29*H29</f>
        <v>6</v>
      </c>
      <c r="J29" s="8" t="str">
        <f t="shared" si="2"/>
        <v>L</v>
      </c>
      <c r="K29" s="8" t="s">
        <v>185</v>
      </c>
      <c r="L29" s="8" t="s">
        <v>31</v>
      </c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60" x14ac:dyDescent="0.15">
      <c r="A30" s="4">
        <v>29</v>
      </c>
      <c r="B30" s="9"/>
      <c r="C30" s="6" t="s">
        <v>61</v>
      </c>
      <c r="D30" s="6" t="s">
        <v>158</v>
      </c>
      <c r="E30" s="6" t="s">
        <v>91</v>
      </c>
      <c r="F30" s="6" t="s">
        <v>101</v>
      </c>
      <c r="G30" s="7">
        <v>3</v>
      </c>
      <c r="H30" s="7">
        <v>4</v>
      </c>
      <c r="I30" s="7">
        <f t="shared" si="6"/>
        <v>12</v>
      </c>
      <c r="J30" s="8" t="str">
        <f t="shared" si="2"/>
        <v>L</v>
      </c>
      <c r="K30" s="8" t="s">
        <v>186</v>
      </c>
      <c r="L30" s="8" t="s">
        <v>44</v>
      </c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0" x14ac:dyDescent="0.15">
      <c r="A31" s="4">
        <v>30</v>
      </c>
      <c r="B31" s="9"/>
      <c r="C31" s="6" t="s">
        <v>65</v>
      </c>
      <c r="D31" s="6" t="s">
        <v>159</v>
      </c>
      <c r="E31" s="6" t="s">
        <v>33</v>
      </c>
      <c r="F31" s="6" t="s">
        <v>104</v>
      </c>
      <c r="G31" s="7">
        <v>3</v>
      </c>
      <c r="H31" s="7">
        <v>6</v>
      </c>
      <c r="I31" s="7">
        <f t="shared" si="6"/>
        <v>18</v>
      </c>
      <c r="J31" s="8" t="str">
        <f t="shared" si="2"/>
        <v>M</v>
      </c>
      <c r="K31" s="8" t="s">
        <v>116</v>
      </c>
      <c r="L31" s="8" t="s">
        <v>117</v>
      </c>
      <c r="M31" s="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60" x14ac:dyDescent="0.15">
      <c r="A32" s="4">
        <v>31</v>
      </c>
      <c r="B32" s="9"/>
      <c r="C32" s="6" t="s">
        <v>71</v>
      </c>
      <c r="D32" s="6" t="s">
        <v>160</v>
      </c>
      <c r="E32" s="6" t="s">
        <v>91</v>
      </c>
      <c r="F32" s="6" t="s">
        <v>161</v>
      </c>
      <c r="G32" s="7">
        <v>5</v>
      </c>
      <c r="H32" s="7">
        <v>8</v>
      </c>
      <c r="I32" s="7">
        <f t="shared" ref="I32" si="7">G32*H32</f>
        <v>40</v>
      </c>
      <c r="J32" s="8" t="str">
        <f t="shared" si="2"/>
        <v>H</v>
      </c>
      <c r="K32" s="8" t="s">
        <v>121</v>
      </c>
      <c r="L32" s="8" t="s">
        <v>44</v>
      </c>
      <c r="M32" s="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60" x14ac:dyDescent="0.15">
      <c r="A33" s="4">
        <v>32</v>
      </c>
      <c r="B33" s="9"/>
      <c r="C33" s="6" t="s">
        <v>24</v>
      </c>
      <c r="D33" s="6" t="s">
        <v>83</v>
      </c>
      <c r="E33" s="6" t="s">
        <v>94</v>
      </c>
      <c r="F33" s="6" t="s">
        <v>162</v>
      </c>
      <c r="G33" s="7">
        <v>3</v>
      </c>
      <c r="H33" s="7">
        <v>9</v>
      </c>
      <c r="I33" s="7">
        <f t="shared" ref="I33" si="8">G33*H33</f>
        <v>27</v>
      </c>
      <c r="J33" s="8" t="str">
        <f t="shared" si="2"/>
        <v>M</v>
      </c>
      <c r="K33" s="8" t="s">
        <v>187</v>
      </c>
      <c r="L33" s="8" t="s">
        <v>44</v>
      </c>
      <c r="M33" s="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sqref="A1:D33"/>
    </sheetView>
  </sheetViews>
  <sheetFormatPr baseColWidth="10" defaultColWidth="12.6640625" defaultRowHeight="15" customHeight="1" x14ac:dyDescent="0.15"/>
  <cols>
    <col min="1" max="1" width="8.6640625" customWidth="1"/>
    <col min="2" max="2" width="58.33203125" bestFit="1" customWidth="1"/>
    <col min="3" max="4" width="8.6640625" customWidth="1"/>
    <col min="5" max="26" width="7.6640625" customWidth="1"/>
  </cols>
  <sheetData>
    <row r="1" spans="1:4" ht="15" customHeight="1" x14ac:dyDescent="0.2">
      <c r="A1" s="10" t="s">
        <v>0</v>
      </c>
      <c r="B1" s="11" t="s">
        <v>2</v>
      </c>
      <c r="C1" s="11" t="s">
        <v>6</v>
      </c>
      <c r="D1" s="11" t="s">
        <v>7</v>
      </c>
    </row>
    <row r="2" spans="1:4" ht="15" customHeight="1" x14ac:dyDescent="0.2">
      <c r="A2" s="11">
        <v>1</v>
      </c>
      <c r="B2" s="11" t="s">
        <v>45</v>
      </c>
      <c r="C2">
        <v>3</v>
      </c>
      <c r="D2">
        <v>2</v>
      </c>
    </row>
    <row r="3" spans="1:4" ht="15" customHeight="1" x14ac:dyDescent="0.2">
      <c r="A3" s="11">
        <v>2</v>
      </c>
      <c r="B3" s="11" t="s">
        <v>28</v>
      </c>
      <c r="C3">
        <v>3</v>
      </c>
      <c r="D3">
        <v>4</v>
      </c>
    </row>
    <row r="4" spans="1:4" ht="15" customHeight="1" x14ac:dyDescent="0.2">
      <c r="A4" s="11">
        <v>3</v>
      </c>
      <c r="B4" s="11" t="s">
        <v>62</v>
      </c>
      <c r="C4">
        <v>5</v>
      </c>
      <c r="D4">
        <v>6</v>
      </c>
    </row>
    <row r="5" spans="1:4" ht="15" customHeight="1" x14ac:dyDescent="0.2">
      <c r="A5" s="11">
        <v>4</v>
      </c>
      <c r="B5" s="11" t="s">
        <v>66</v>
      </c>
      <c r="C5">
        <v>9</v>
      </c>
      <c r="D5">
        <v>8</v>
      </c>
    </row>
    <row r="6" spans="1:4" ht="15" customHeight="1" x14ac:dyDescent="0.2">
      <c r="A6" s="11">
        <v>5</v>
      </c>
      <c r="B6" s="11" t="s">
        <v>72</v>
      </c>
      <c r="C6">
        <v>5</v>
      </c>
      <c r="D6">
        <v>9</v>
      </c>
    </row>
    <row r="7" spans="1:4" ht="15" customHeight="1" x14ac:dyDescent="0.2">
      <c r="A7" s="11">
        <v>6</v>
      </c>
      <c r="B7" s="11" t="s">
        <v>32</v>
      </c>
      <c r="C7">
        <v>3</v>
      </c>
      <c r="D7">
        <v>1</v>
      </c>
    </row>
    <row r="8" spans="1:4" ht="15" customHeight="1" x14ac:dyDescent="0.2">
      <c r="A8" s="11">
        <v>7</v>
      </c>
      <c r="B8" s="11" t="s">
        <v>46</v>
      </c>
      <c r="C8">
        <v>5</v>
      </c>
      <c r="D8">
        <v>2</v>
      </c>
    </row>
    <row r="9" spans="1:4" ht="15" customHeight="1" x14ac:dyDescent="0.2">
      <c r="A9" s="11">
        <v>8</v>
      </c>
      <c r="B9" s="11" t="s">
        <v>58</v>
      </c>
      <c r="C9">
        <v>5</v>
      </c>
      <c r="D9">
        <v>4</v>
      </c>
    </row>
    <row r="10" spans="1:4" ht="15" customHeight="1" x14ac:dyDescent="0.2">
      <c r="A10" s="11">
        <v>9</v>
      </c>
      <c r="B10" s="11" t="s">
        <v>63</v>
      </c>
      <c r="C10">
        <v>7</v>
      </c>
      <c r="D10">
        <v>6</v>
      </c>
    </row>
    <row r="11" spans="1:4" ht="15" customHeight="1" x14ac:dyDescent="0.2">
      <c r="A11" s="11">
        <v>10</v>
      </c>
      <c r="B11" s="11" t="s">
        <v>67</v>
      </c>
      <c r="C11">
        <v>7</v>
      </c>
      <c r="D11">
        <v>8</v>
      </c>
    </row>
    <row r="12" spans="1:4" ht="15" customHeight="1" x14ac:dyDescent="0.2">
      <c r="A12" s="11">
        <v>11</v>
      </c>
      <c r="B12" s="11" t="s">
        <v>73</v>
      </c>
      <c r="C12">
        <v>3</v>
      </c>
      <c r="D12">
        <v>9</v>
      </c>
    </row>
    <row r="13" spans="1:4" ht="15" customHeight="1" x14ac:dyDescent="0.2">
      <c r="A13" s="11">
        <v>12</v>
      </c>
      <c r="B13" s="11" t="s">
        <v>34</v>
      </c>
      <c r="C13">
        <v>3</v>
      </c>
      <c r="D13">
        <v>1</v>
      </c>
    </row>
    <row r="14" spans="1:4" ht="15" customHeight="1" x14ac:dyDescent="0.2">
      <c r="A14" s="11">
        <v>13</v>
      </c>
      <c r="B14" s="11" t="s">
        <v>50</v>
      </c>
      <c r="C14">
        <v>5</v>
      </c>
      <c r="D14">
        <v>2</v>
      </c>
    </row>
    <row r="15" spans="1:4" ht="15" customHeight="1" x14ac:dyDescent="0.2">
      <c r="A15" s="11">
        <v>14</v>
      </c>
      <c r="B15" s="11" t="s">
        <v>59</v>
      </c>
      <c r="C15">
        <v>5</v>
      </c>
      <c r="D15">
        <v>4</v>
      </c>
    </row>
    <row r="16" spans="1:4" ht="15" customHeight="1" x14ac:dyDescent="0.2">
      <c r="A16" s="11">
        <v>15</v>
      </c>
      <c r="B16" s="11" t="s">
        <v>64</v>
      </c>
      <c r="C16">
        <v>7</v>
      </c>
      <c r="D16">
        <v>6</v>
      </c>
    </row>
    <row r="17" spans="1:4" ht="15" customHeight="1" x14ac:dyDescent="0.2">
      <c r="A17" s="11">
        <v>16</v>
      </c>
      <c r="B17" s="11" t="s">
        <v>68</v>
      </c>
      <c r="C17">
        <v>7</v>
      </c>
      <c r="D17">
        <v>8</v>
      </c>
    </row>
    <row r="18" spans="1:4" ht="15" customHeight="1" x14ac:dyDescent="0.2">
      <c r="A18" s="11">
        <v>17</v>
      </c>
      <c r="B18" s="11" t="s">
        <v>74</v>
      </c>
      <c r="C18">
        <v>9</v>
      </c>
      <c r="D18">
        <v>9</v>
      </c>
    </row>
    <row r="19" spans="1:4" ht="15" customHeight="1" x14ac:dyDescent="0.2">
      <c r="A19" s="11">
        <v>18</v>
      </c>
      <c r="B19" s="11" t="s">
        <v>37</v>
      </c>
      <c r="C19">
        <v>7</v>
      </c>
      <c r="D19">
        <v>1</v>
      </c>
    </row>
    <row r="20" spans="1:4" ht="15" customHeight="1" x14ac:dyDescent="0.2">
      <c r="A20" s="11">
        <v>19</v>
      </c>
      <c r="B20" s="11" t="s">
        <v>17</v>
      </c>
      <c r="C20">
        <v>5</v>
      </c>
      <c r="D20">
        <v>4</v>
      </c>
    </row>
    <row r="21" spans="1:4" ht="15.75" customHeight="1" x14ac:dyDescent="0.2">
      <c r="A21" s="11">
        <v>20</v>
      </c>
      <c r="B21" s="11" t="s">
        <v>69</v>
      </c>
      <c r="C21">
        <v>5</v>
      </c>
      <c r="D21">
        <v>8</v>
      </c>
    </row>
    <row r="22" spans="1:4" ht="15.75" customHeight="1" x14ac:dyDescent="0.2">
      <c r="A22" s="11">
        <v>21</v>
      </c>
      <c r="B22" s="11" t="s">
        <v>75</v>
      </c>
      <c r="C22">
        <v>5</v>
      </c>
      <c r="D22">
        <v>9</v>
      </c>
    </row>
    <row r="23" spans="1:4" ht="15.75" customHeight="1" x14ac:dyDescent="0.2">
      <c r="A23" s="11">
        <v>22</v>
      </c>
      <c r="B23" s="11" t="s">
        <v>53</v>
      </c>
      <c r="C23">
        <v>3</v>
      </c>
      <c r="D23">
        <v>2</v>
      </c>
    </row>
    <row r="24" spans="1:4" ht="15.75" customHeight="1" x14ac:dyDescent="0.2">
      <c r="A24" s="11">
        <v>23</v>
      </c>
      <c r="B24" s="11" t="s">
        <v>60</v>
      </c>
      <c r="C24">
        <v>7</v>
      </c>
      <c r="D24">
        <v>4</v>
      </c>
    </row>
    <row r="25" spans="1:4" ht="15.75" customHeight="1" x14ac:dyDescent="0.2">
      <c r="A25" s="11">
        <v>24</v>
      </c>
      <c r="B25" s="11" t="s">
        <v>21</v>
      </c>
      <c r="C25">
        <v>5</v>
      </c>
      <c r="D25">
        <v>6</v>
      </c>
    </row>
    <row r="26" spans="1:4" ht="15.75" customHeight="1" x14ac:dyDescent="0.2">
      <c r="A26" s="11">
        <v>25</v>
      </c>
      <c r="B26" s="11" t="s">
        <v>70</v>
      </c>
      <c r="C26">
        <v>5</v>
      </c>
      <c r="D26">
        <v>8</v>
      </c>
    </row>
    <row r="27" spans="1:4" ht="15.75" customHeight="1" x14ac:dyDescent="0.2">
      <c r="A27" s="11">
        <v>26</v>
      </c>
      <c r="B27" s="11" t="s">
        <v>76</v>
      </c>
      <c r="C27">
        <v>1</v>
      </c>
      <c r="D27">
        <v>9</v>
      </c>
    </row>
    <row r="28" spans="1:4" ht="15.75" customHeight="1" x14ac:dyDescent="0.2">
      <c r="A28" s="11">
        <v>27</v>
      </c>
      <c r="B28" s="11" t="s">
        <v>40</v>
      </c>
      <c r="C28">
        <v>3</v>
      </c>
      <c r="D28">
        <v>1</v>
      </c>
    </row>
    <row r="29" spans="1:4" ht="15.75" customHeight="1" x14ac:dyDescent="0.2">
      <c r="A29" s="11">
        <v>28</v>
      </c>
      <c r="B29" s="11" t="s">
        <v>56</v>
      </c>
      <c r="C29">
        <v>3</v>
      </c>
      <c r="D29">
        <v>2</v>
      </c>
    </row>
    <row r="30" spans="1:4" ht="15.75" customHeight="1" x14ac:dyDescent="0.2">
      <c r="A30" s="11">
        <v>29</v>
      </c>
      <c r="B30" s="11" t="s">
        <v>61</v>
      </c>
      <c r="C30">
        <v>3</v>
      </c>
      <c r="D30">
        <v>4</v>
      </c>
    </row>
    <row r="31" spans="1:4" ht="15.75" customHeight="1" x14ac:dyDescent="0.2">
      <c r="A31" s="11">
        <v>30</v>
      </c>
      <c r="B31" s="11" t="s">
        <v>65</v>
      </c>
      <c r="C31">
        <v>3</v>
      </c>
      <c r="D31">
        <v>6</v>
      </c>
    </row>
    <row r="32" spans="1:4" ht="15.75" customHeight="1" x14ac:dyDescent="0.2">
      <c r="A32" s="11">
        <v>31</v>
      </c>
      <c r="B32" s="11" t="s">
        <v>71</v>
      </c>
      <c r="C32">
        <v>5</v>
      </c>
      <c r="D32">
        <v>8</v>
      </c>
    </row>
    <row r="33" spans="1:4" ht="15.75" customHeight="1" x14ac:dyDescent="0.2">
      <c r="A33" s="11">
        <v>32</v>
      </c>
      <c r="B33" s="11" t="s">
        <v>24</v>
      </c>
      <c r="C33">
        <v>3</v>
      </c>
      <c r="D33">
        <v>9</v>
      </c>
    </row>
    <row r="34" spans="1:4" ht="15.75" customHeight="1" x14ac:dyDescent="0.15"/>
    <row r="35" spans="1:4" ht="15.75" customHeight="1" x14ac:dyDescent="0.15"/>
    <row r="36" spans="1:4" ht="15.75" customHeight="1" x14ac:dyDescent="0.15"/>
    <row r="37" spans="1:4" ht="15.75" customHeight="1" x14ac:dyDescent="0.15"/>
    <row r="38" spans="1:4" ht="15.75" customHeight="1" x14ac:dyDescent="0.15"/>
    <row r="39" spans="1:4" ht="15.75" customHeight="1" x14ac:dyDescent="0.15"/>
    <row r="40" spans="1:4" ht="15.75" customHeight="1" x14ac:dyDescent="0.15"/>
    <row r="41" spans="1:4" ht="15.75" customHeight="1" x14ac:dyDescent="0.15"/>
    <row r="42" spans="1:4" ht="15.75" customHeight="1" x14ac:dyDescent="0.15"/>
    <row r="43" spans="1:4" ht="15.75" customHeight="1" x14ac:dyDescent="0.15"/>
    <row r="44" spans="1:4" ht="15.75" customHeight="1" x14ac:dyDescent="0.15"/>
    <row r="45" spans="1:4" ht="15.75" customHeight="1" x14ac:dyDescent="0.15"/>
    <row r="46" spans="1:4" ht="15.75" customHeight="1" x14ac:dyDescent="0.15"/>
    <row r="47" spans="1:4" ht="15.75" customHeight="1" x14ac:dyDescent="0.15"/>
    <row r="48" spans="1:4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B1:D1 B2:B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734B-268E-A14F-B702-DE41E5542737}">
  <dimension ref="A1:O43"/>
  <sheetViews>
    <sheetView tabSelected="1" workbookViewId="0">
      <selection activeCell="A15" sqref="A15:C17"/>
    </sheetView>
  </sheetViews>
  <sheetFormatPr baseColWidth="10" defaultRowHeight="14" x14ac:dyDescent="0.15"/>
  <cols>
    <col min="1" max="2" width="6.33203125" customWidth="1"/>
    <col min="3" max="3" width="4.83203125" customWidth="1"/>
    <col min="4" max="8" width="20.33203125" customWidth="1"/>
  </cols>
  <sheetData>
    <row r="1" spans="1:15" x14ac:dyDescent="0.15">
      <c r="C1" s="10"/>
    </row>
    <row r="2" spans="1:15" ht="50" customHeight="1" x14ac:dyDescent="0.15">
      <c r="A2" s="32" t="s">
        <v>230</v>
      </c>
      <c r="B2" s="36" t="s">
        <v>25</v>
      </c>
      <c r="C2" s="18">
        <v>9</v>
      </c>
      <c r="D2" s="21" t="str" cm="1">
        <f t="array" ref="D2">_xlfn.TEXTJOIN(", ",TRUE,IF(($N$12:$N$43=$C2)*($M$12:$M$43=D$8),$K$12:$K$43,""))</f>
        <v>Risk26</v>
      </c>
      <c r="E2" s="19" t="str" cm="1">
        <f t="array" ref="E2">_xlfn.TEXTJOIN(", ",TRUE,IF(($N$12:$N$43=$C2)*($M$12:$M$43=E$8),$K$12:$K$43,""))</f>
        <v>Risk11, Risk32</v>
      </c>
      <c r="F2" s="20" t="str" cm="1">
        <f t="array" ref="F2">_xlfn.TEXTJOIN(", ",TRUE,IF(($N$12:$N$43=$C2)*($M$12:$M$43=F$8),$K$12:$K$43,""))</f>
        <v>Risk5, Risk21</v>
      </c>
      <c r="G2" s="20" t="str" cm="1">
        <f t="array" ref="G2">_xlfn.TEXTJOIN(", ",TRUE,IF(($N$12:$N$43=$C2)*($M$12:$M$43=G$8),$K$12:$K$43,""))</f>
        <v/>
      </c>
      <c r="H2" s="20" t="str" cm="1">
        <f t="array" ref="H2">_xlfn.TEXTJOIN(", ",TRUE,IF(($N$12:$N$43=$C2)*($M$12:$M$43=H$8),$K$12:$K$43,""))</f>
        <v>Risk17</v>
      </c>
      <c r="I2" t="str" cm="1">
        <f t="array" ref="I2">_xlfn.TEXTJOIN(", ",TRUE,IF(($N$12:$N$43=$C2)*($M$12:$M$43=I$8),$K$12:$K$43,""))</f>
        <v/>
      </c>
      <c r="J2" t="str" cm="1">
        <f t="array" ref="J2">_xlfn.TEXTJOIN(", ",TRUE,IF(($N$12:$N$43=I$2)*($M$12:$M$43=Heatmap!J$8),$K$12:$K$43,""))</f>
        <v/>
      </c>
    </row>
    <row r="3" spans="1:15" ht="50" customHeight="1" x14ac:dyDescent="0.15">
      <c r="A3" s="32"/>
      <c r="B3" s="37"/>
      <c r="C3" s="18">
        <v>8</v>
      </c>
      <c r="D3" s="21" t="str" cm="1">
        <f t="array" ref="D3">_xlfn.TEXTJOIN(", ",TRUE,IF(($N$12:$N$43=$C3)*($M$12:$M$43=D$8),$K$12:$K$43,""))</f>
        <v/>
      </c>
      <c r="E3" s="19" t="str" cm="1">
        <f t="array" ref="E3">_xlfn.TEXTJOIN(", ",TRUE,IF(($N$12:$N$43=$C3)*($M$12:$M$43=E$8),$K$12:$K$43,""))</f>
        <v/>
      </c>
      <c r="F3" s="20" t="str" cm="1">
        <f t="array" ref="F3">_xlfn.TEXTJOIN(", ",TRUE,IF(($N$12:$N$43=$C3)*($M$12:$M$43=F$8),$K$12:$K$43,""))</f>
        <v>Risk20, Risk25, Risk31</v>
      </c>
      <c r="G3" s="20" t="str" cm="1">
        <f t="array" ref="G3">_xlfn.TEXTJOIN(", ",TRUE,IF(($N$12:$N$43=$C3)*($M$12:$M$43=G$8),$K$12:$K$43,""))</f>
        <v>Risk10, Risk16</v>
      </c>
      <c r="H3" s="20" t="str" cm="1">
        <f t="array" ref="H3">_xlfn.TEXTJOIN(", ",TRUE,IF(($N$12:$N$43=$C3)*($M$12:$M$43=H$8),$K$12:$K$43,""))</f>
        <v>Risk4</v>
      </c>
      <c r="I3" t="str" cm="1">
        <f t="array" ref="I3">_xlfn.TEXTJOIN(", ",TRUE,IF(($N$12:$N$43=$C3)*($M$12:$M$43=I$8),$K$12:$K$43,""))</f>
        <v/>
      </c>
    </row>
    <row r="4" spans="1:15" ht="50" customHeight="1" x14ac:dyDescent="0.15">
      <c r="A4" s="32"/>
      <c r="B4" s="40" t="s">
        <v>26</v>
      </c>
      <c r="C4" s="18">
        <v>6</v>
      </c>
      <c r="D4" s="21" t="str" cm="1">
        <f t="array" ref="D4">_xlfn.TEXTJOIN(", ",TRUE,IF(($N$12:$N$43=$C4)*($M$12:$M$43=D$8),$K$12:$K$43,""))</f>
        <v/>
      </c>
      <c r="E4" s="19" t="str" cm="1">
        <f t="array" ref="E4">_xlfn.TEXTJOIN(", ",TRUE,IF(($N$12:$N$43=$C4)*($M$12:$M$43=E$8),$K$12:$K$43,""))</f>
        <v>Risk30</v>
      </c>
      <c r="F4" s="19" t="str" cm="1">
        <f t="array" ref="F4">_xlfn.TEXTJOIN(", ",TRUE,IF(($N$12:$N$43=$C4)*($M$12:$M$43=F$8),$K$12:$K$43,""))</f>
        <v>Risk3, Risk24</v>
      </c>
      <c r="G4" s="20" t="str" cm="1">
        <f t="array" ref="G4">_xlfn.TEXTJOIN(", ",TRUE,IF(($N$12:$N$43=$C4)*($M$12:$M$43=G$8),$K$12:$K$43,""))</f>
        <v>Risk9, Risk15</v>
      </c>
      <c r="H4" s="20" t="str" cm="1">
        <f t="array" ref="H4">_xlfn.TEXTJOIN(", ",TRUE,IF(($N$12:$N$43=$C4)*($M$12:$M$43=H$8),$K$12:$K$43,""))</f>
        <v/>
      </c>
      <c r="I4" t="str" cm="1">
        <f t="array" ref="I4">_xlfn.TEXTJOIN(", ",TRUE,IF(($N$12:$N$43=$C4)*($M$12:$M$43=I$8),$K$12:$K$43,""))</f>
        <v/>
      </c>
    </row>
    <row r="5" spans="1:15" ht="50" customHeight="1" x14ac:dyDescent="0.15">
      <c r="A5" s="32"/>
      <c r="B5" s="41"/>
      <c r="C5" s="18">
        <v>4</v>
      </c>
      <c r="D5" s="21" t="str" cm="1">
        <f t="array" ref="D5">_xlfn.TEXTJOIN(", ",TRUE,IF(($N$12:$N$43=$C5)*($M$12:$M$43=D$8),$K$12:$K$43,""))</f>
        <v/>
      </c>
      <c r="E5" s="21" t="str" cm="1">
        <f t="array" ref="E5">_xlfn.TEXTJOIN(", ",TRUE,IF(($N$12:$N$43=$C5)*($M$12:$M$43=E$8),$K$12:$K$43,""))</f>
        <v>Risk2, Risk29</v>
      </c>
      <c r="F5" s="19" t="str" cm="1">
        <f t="array" ref="F5">_xlfn.TEXTJOIN(", ",TRUE,IF(($N$12:$N$43=$C5)*($M$12:$M$43=F$8),$K$12:$K$43,""))</f>
        <v>Risk8, Risk14, Risk19</v>
      </c>
      <c r="G5" s="19" t="str" cm="1">
        <f t="array" ref="G5">_xlfn.TEXTJOIN(", ",TRUE,IF(($N$12:$N$43=$C5)*($M$12:$M$43=G$8),$K$12:$K$43,""))</f>
        <v>Risk23</v>
      </c>
      <c r="H5" s="20" t="str" cm="1">
        <f t="array" ref="H5">_xlfn.TEXTJOIN(", ",TRUE,IF(($N$12:$N$43=$C5)*($M$12:$M$43=H$8),$K$12:$K$43,""))</f>
        <v/>
      </c>
      <c r="I5" t="str" cm="1">
        <f t="array" ref="I5">_xlfn.TEXTJOIN(", ",TRUE,IF(($N$12:$N$43=$C5)*($M$12:$M$43=I$8),$K$12:$K$43,""))</f>
        <v/>
      </c>
    </row>
    <row r="6" spans="1:15" ht="50" customHeight="1" x14ac:dyDescent="0.15">
      <c r="A6" s="32"/>
      <c r="B6" s="42" t="s">
        <v>27</v>
      </c>
      <c r="C6" s="18">
        <v>2</v>
      </c>
      <c r="D6" s="21" t="str" cm="1">
        <f t="array" ref="D6">_xlfn.TEXTJOIN(", ",TRUE,IF(($N$12:$N$43=$C6)*($M$12:$M$43=D$8),$K$12:$K$43,""))</f>
        <v/>
      </c>
      <c r="E6" s="21" t="str" cm="1">
        <f t="array" ref="E6">_xlfn.TEXTJOIN(", ",TRUE,IF(($N$12:$N$43=$C6)*($M$12:$M$43=E$8),$K$12:$K$43,""))</f>
        <v>Risk1, Risk22, Risk28</v>
      </c>
      <c r="F6" s="21" t="str" cm="1">
        <f t="array" ref="F6">_xlfn.TEXTJOIN(", ",TRUE,IF(($N$12:$N$43=$C6)*($M$12:$M$43=F$8),$K$12:$K$43,""))</f>
        <v>Risk7, Risk13</v>
      </c>
      <c r="G6" s="19" t="str" cm="1">
        <f t="array" ref="G6">_xlfn.TEXTJOIN(", ",TRUE,IF(($N$12:$N$43=$C6)*($M$12:$M$43=G$8),$K$12:$K$43,""))</f>
        <v/>
      </c>
      <c r="H6" s="19" t="str" cm="1">
        <f t="array" ref="H6">_xlfn.TEXTJOIN(", ",TRUE,IF(($N$12:$N$43=$C6)*($M$12:$M$43=H$8),$K$12:$K$43,""))</f>
        <v/>
      </c>
      <c r="I6" t="str" cm="1">
        <f t="array" ref="I6">_xlfn.TEXTJOIN(", ",TRUE,IF(($N$12:$N$43=$C6)*($M$12:$M$43=I$8),$K$12:$K$43,""))</f>
        <v/>
      </c>
    </row>
    <row r="7" spans="1:15" ht="50" customHeight="1" x14ac:dyDescent="0.15">
      <c r="A7" s="33"/>
      <c r="B7" s="43"/>
      <c r="C7" s="23">
        <v>1</v>
      </c>
      <c r="D7" s="21" t="str" cm="1">
        <f t="array" ref="D7">_xlfn.TEXTJOIN(", ",TRUE,IF(($N$12:$N$43=$C7)*($M$12:$M$43=D$8),$K$12:$K$43,""))</f>
        <v/>
      </c>
      <c r="E7" s="21" t="str" cm="1">
        <f t="array" ref="E7">_xlfn.TEXTJOIN(", ",TRUE,IF(($N$12:$N$43=$C7)*($M$12:$M$43=E$8),$K$12:$K$43,""))</f>
        <v>Risk6, Risk12, Risk27</v>
      </c>
      <c r="F7" s="21" t="str" cm="1">
        <f t="array" ref="F7">_xlfn.TEXTJOIN(", ",TRUE,IF(($N$12:$N$43=$C7)*($M$12:$M$43=F$8),$K$12:$K$43,""))</f>
        <v/>
      </c>
      <c r="G7" s="21" t="str" cm="1">
        <f t="array" ref="G7">_xlfn.TEXTJOIN(", ",TRUE,IF(($N$12:$N$43=$C7)*($M$12:$M$43=G$8),$K$12:$K$43,""))</f>
        <v>Risk18</v>
      </c>
      <c r="H7" s="21" t="str" cm="1">
        <f t="array" ref="H7">_xlfn.TEXTJOIN(", ",TRUE,IF(($N$12:$N$43=$C7)*($M$12:$M$43=H$8),$K$12:$K$43,""))</f>
        <v/>
      </c>
      <c r="I7" t="str" cm="1">
        <f t="array" ref="I7">_xlfn.TEXTJOIN(", ",TRUE,IF(($N$12:$N$43=$C7)*($M$12:$M$43=I$8),$K$12:$K$43,""))</f>
        <v/>
      </c>
    </row>
    <row r="8" spans="1:15" ht="22" customHeight="1" x14ac:dyDescent="0.15">
      <c r="A8" s="24"/>
      <c r="B8" s="27"/>
      <c r="C8" s="25"/>
      <c r="D8" s="22">
        <v>1</v>
      </c>
      <c r="E8" s="18">
        <v>3</v>
      </c>
      <c r="F8" s="18">
        <v>5</v>
      </c>
      <c r="G8" s="18">
        <v>7</v>
      </c>
      <c r="H8" s="18">
        <v>9</v>
      </c>
    </row>
    <row r="9" spans="1:15" ht="22" customHeight="1" x14ac:dyDescent="0.15">
      <c r="C9" s="26"/>
      <c r="D9" s="28" t="s">
        <v>27</v>
      </c>
      <c r="E9" s="38" t="s">
        <v>26</v>
      </c>
      <c r="F9" s="39"/>
      <c r="G9" s="44" t="s">
        <v>25</v>
      </c>
      <c r="H9" s="45"/>
    </row>
    <row r="10" spans="1:15" ht="34" customHeight="1" x14ac:dyDescent="0.15">
      <c r="C10" s="26"/>
      <c r="D10" s="34" t="s">
        <v>231</v>
      </c>
      <c r="E10" s="35"/>
      <c r="F10" s="35"/>
      <c r="G10" s="35"/>
      <c r="H10" s="35"/>
      <c r="I10" s="14"/>
    </row>
    <row r="11" spans="1:15" ht="15" x14ac:dyDescent="0.2">
      <c r="K11" s="10" t="s">
        <v>0</v>
      </c>
      <c r="L11" s="11" t="s">
        <v>2</v>
      </c>
      <c r="M11" s="11" t="s">
        <v>6</v>
      </c>
      <c r="N11" s="11" t="s">
        <v>7</v>
      </c>
    </row>
    <row r="12" spans="1:15" ht="15" x14ac:dyDescent="0.2">
      <c r="K12" s="11" t="s">
        <v>188</v>
      </c>
      <c r="L12" s="11" t="s">
        <v>45</v>
      </c>
      <c r="M12">
        <v>3</v>
      </c>
      <c r="N12">
        <v>2</v>
      </c>
      <c r="O12">
        <v>6</v>
      </c>
    </row>
    <row r="13" spans="1:15" ht="15" x14ac:dyDescent="0.2">
      <c r="A13" s="29" t="s">
        <v>220</v>
      </c>
      <c r="B13" s="29"/>
      <c r="C13" s="29"/>
      <c r="D13" s="29"/>
      <c r="E13" s="29"/>
      <c r="F13" s="14"/>
      <c r="K13" s="11" t="s">
        <v>189</v>
      </c>
      <c r="L13" s="11" t="s">
        <v>28</v>
      </c>
      <c r="M13">
        <v>3</v>
      </c>
      <c r="N13">
        <v>4</v>
      </c>
      <c r="O13">
        <v>12</v>
      </c>
    </row>
    <row r="14" spans="1:15" ht="15" x14ac:dyDescent="0.2">
      <c r="A14" s="29" t="s">
        <v>8</v>
      </c>
      <c r="B14" s="29"/>
      <c r="C14" s="29"/>
      <c r="D14" s="13" t="s">
        <v>222</v>
      </c>
      <c r="E14" s="13" t="s">
        <v>223</v>
      </c>
      <c r="K14" s="11" t="s">
        <v>190</v>
      </c>
      <c r="L14" s="11" t="s">
        <v>62</v>
      </c>
      <c r="M14">
        <v>5</v>
      </c>
      <c r="N14">
        <v>6</v>
      </c>
      <c r="O14">
        <v>30</v>
      </c>
    </row>
    <row r="15" spans="1:15" ht="15" x14ac:dyDescent="0.2">
      <c r="A15" s="30" t="s">
        <v>221</v>
      </c>
      <c r="B15" s="30"/>
      <c r="C15" s="31"/>
      <c r="D15" s="12" t="s">
        <v>224</v>
      </c>
      <c r="E15" s="15" t="s">
        <v>227</v>
      </c>
      <c r="K15" s="11" t="s">
        <v>191</v>
      </c>
      <c r="L15" s="11" t="s">
        <v>66</v>
      </c>
      <c r="M15">
        <v>9</v>
      </c>
      <c r="N15">
        <v>8</v>
      </c>
      <c r="O15">
        <v>72</v>
      </c>
    </row>
    <row r="16" spans="1:15" ht="15" x14ac:dyDescent="0.2">
      <c r="A16" s="30" t="s">
        <v>233</v>
      </c>
      <c r="B16" s="30"/>
      <c r="C16" s="31"/>
      <c r="D16" s="12" t="s">
        <v>225</v>
      </c>
      <c r="E16" s="16" t="s">
        <v>228</v>
      </c>
      <c r="K16" s="11" t="s">
        <v>192</v>
      </c>
      <c r="L16" s="11" t="s">
        <v>72</v>
      </c>
      <c r="M16">
        <v>5</v>
      </c>
      <c r="N16">
        <v>9</v>
      </c>
      <c r="O16">
        <v>45</v>
      </c>
    </row>
    <row r="17" spans="1:15" ht="15" x14ac:dyDescent="0.2">
      <c r="A17" s="30" t="s">
        <v>232</v>
      </c>
      <c r="B17" s="30"/>
      <c r="C17" s="31"/>
      <c r="D17" s="12" t="s">
        <v>226</v>
      </c>
      <c r="E17" s="17" t="s">
        <v>229</v>
      </c>
      <c r="K17" s="11" t="s">
        <v>193</v>
      </c>
      <c r="L17" s="11" t="s">
        <v>32</v>
      </c>
      <c r="M17">
        <v>3</v>
      </c>
      <c r="N17">
        <v>1</v>
      </c>
      <c r="O17">
        <v>3</v>
      </c>
    </row>
    <row r="18" spans="1:15" ht="15" x14ac:dyDescent="0.2">
      <c r="A18" s="10"/>
      <c r="B18" s="10"/>
      <c r="C18" s="10"/>
      <c r="K18" s="11" t="s">
        <v>194</v>
      </c>
      <c r="L18" s="11" t="s">
        <v>46</v>
      </c>
      <c r="M18">
        <v>5</v>
      </c>
      <c r="N18">
        <v>2</v>
      </c>
      <c r="O18">
        <v>10</v>
      </c>
    </row>
    <row r="19" spans="1:15" ht="15" x14ac:dyDescent="0.2">
      <c r="A19" s="10"/>
      <c r="B19" s="10"/>
      <c r="C19" s="10"/>
      <c r="K19" s="11" t="s">
        <v>195</v>
      </c>
      <c r="L19" s="11" t="s">
        <v>58</v>
      </c>
      <c r="M19">
        <v>5</v>
      </c>
      <c r="N19">
        <v>4</v>
      </c>
      <c r="O19">
        <v>20</v>
      </c>
    </row>
    <row r="20" spans="1:15" ht="15" x14ac:dyDescent="0.2">
      <c r="K20" s="11" t="s">
        <v>196</v>
      </c>
      <c r="L20" s="11" t="s">
        <v>63</v>
      </c>
      <c r="M20">
        <v>7</v>
      </c>
      <c r="N20">
        <v>6</v>
      </c>
      <c r="O20">
        <v>42</v>
      </c>
    </row>
    <row r="21" spans="1:15" ht="15" x14ac:dyDescent="0.2">
      <c r="K21" s="11" t="s">
        <v>197</v>
      </c>
      <c r="L21" s="11" t="s">
        <v>67</v>
      </c>
      <c r="M21">
        <v>7</v>
      </c>
      <c r="N21">
        <v>8</v>
      </c>
      <c r="O21">
        <v>56</v>
      </c>
    </row>
    <row r="22" spans="1:15" ht="15" x14ac:dyDescent="0.2">
      <c r="K22" s="11" t="s">
        <v>198</v>
      </c>
      <c r="L22" s="11" t="s">
        <v>73</v>
      </c>
      <c r="M22">
        <v>3</v>
      </c>
      <c r="N22">
        <v>9</v>
      </c>
      <c r="O22">
        <v>27</v>
      </c>
    </row>
    <row r="23" spans="1:15" ht="15" x14ac:dyDescent="0.2">
      <c r="K23" s="11" t="s">
        <v>199</v>
      </c>
      <c r="L23" s="11" t="s">
        <v>34</v>
      </c>
      <c r="M23">
        <v>3</v>
      </c>
      <c r="N23">
        <v>1</v>
      </c>
      <c r="O23">
        <v>3</v>
      </c>
    </row>
    <row r="24" spans="1:15" ht="15" x14ac:dyDescent="0.2">
      <c r="K24" s="11" t="s">
        <v>200</v>
      </c>
      <c r="L24" s="11" t="s">
        <v>50</v>
      </c>
      <c r="M24">
        <v>5</v>
      </c>
      <c r="N24">
        <v>2</v>
      </c>
      <c r="O24">
        <v>10</v>
      </c>
    </row>
    <row r="25" spans="1:15" ht="15" x14ac:dyDescent="0.2">
      <c r="K25" s="11" t="s">
        <v>201</v>
      </c>
      <c r="L25" s="11" t="s">
        <v>59</v>
      </c>
      <c r="M25">
        <v>5</v>
      </c>
      <c r="N25">
        <v>4</v>
      </c>
      <c r="O25">
        <v>20</v>
      </c>
    </row>
    <row r="26" spans="1:15" ht="15" x14ac:dyDescent="0.2">
      <c r="K26" s="11" t="s">
        <v>202</v>
      </c>
      <c r="L26" s="11" t="s">
        <v>64</v>
      </c>
      <c r="M26">
        <v>7</v>
      </c>
      <c r="N26">
        <v>6</v>
      </c>
      <c r="O26">
        <v>42</v>
      </c>
    </row>
    <row r="27" spans="1:15" ht="15" x14ac:dyDescent="0.2">
      <c r="K27" s="11" t="s">
        <v>203</v>
      </c>
      <c r="L27" s="11" t="s">
        <v>68</v>
      </c>
      <c r="M27">
        <v>7</v>
      </c>
      <c r="N27">
        <v>8</v>
      </c>
      <c r="O27">
        <v>56</v>
      </c>
    </row>
    <row r="28" spans="1:15" ht="15" x14ac:dyDescent="0.2">
      <c r="K28" s="11" t="s">
        <v>204</v>
      </c>
      <c r="L28" s="11" t="s">
        <v>74</v>
      </c>
      <c r="M28">
        <v>9</v>
      </c>
      <c r="N28">
        <v>9</v>
      </c>
      <c r="O28">
        <v>81</v>
      </c>
    </row>
    <row r="29" spans="1:15" ht="15" x14ac:dyDescent="0.2">
      <c r="K29" s="11" t="s">
        <v>205</v>
      </c>
      <c r="L29" s="11" t="s">
        <v>37</v>
      </c>
      <c r="M29">
        <v>7</v>
      </c>
      <c r="N29">
        <v>1</v>
      </c>
      <c r="O29">
        <v>7</v>
      </c>
    </row>
    <row r="30" spans="1:15" ht="15" x14ac:dyDescent="0.2">
      <c r="K30" s="11" t="s">
        <v>206</v>
      </c>
      <c r="L30" s="11" t="s">
        <v>17</v>
      </c>
      <c r="M30">
        <v>5</v>
      </c>
      <c r="N30">
        <v>4</v>
      </c>
      <c r="O30">
        <v>20</v>
      </c>
    </row>
    <row r="31" spans="1:15" ht="15" x14ac:dyDescent="0.2">
      <c r="K31" s="11" t="s">
        <v>207</v>
      </c>
      <c r="L31" s="11" t="s">
        <v>69</v>
      </c>
      <c r="M31">
        <v>5</v>
      </c>
      <c r="N31">
        <v>8</v>
      </c>
      <c r="O31">
        <v>40</v>
      </c>
    </row>
    <row r="32" spans="1:15" ht="15" x14ac:dyDescent="0.2">
      <c r="K32" s="11" t="s">
        <v>208</v>
      </c>
      <c r="L32" s="11" t="s">
        <v>75</v>
      </c>
      <c r="M32">
        <v>5</v>
      </c>
      <c r="N32">
        <v>9</v>
      </c>
      <c r="O32">
        <v>45</v>
      </c>
    </row>
    <row r="33" spans="11:15" ht="15" x14ac:dyDescent="0.2">
      <c r="K33" s="11" t="s">
        <v>209</v>
      </c>
      <c r="L33" s="11" t="s">
        <v>53</v>
      </c>
      <c r="M33">
        <v>3</v>
      </c>
      <c r="N33">
        <v>2</v>
      </c>
      <c r="O33">
        <v>6</v>
      </c>
    </row>
    <row r="34" spans="11:15" ht="15" x14ac:dyDescent="0.2">
      <c r="K34" s="11" t="s">
        <v>210</v>
      </c>
      <c r="L34" s="11" t="s">
        <v>60</v>
      </c>
      <c r="M34">
        <v>7</v>
      </c>
      <c r="N34">
        <v>4</v>
      </c>
      <c r="O34">
        <v>28</v>
      </c>
    </row>
    <row r="35" spans="11:15" ht="15" x14ac:dyDescent="0.2">
      <c r="K35" s="11" t="s">
        <v>211</v>
      </c>
      <c r="L35" s="11" t="s">
        <v>21</v>
      </c>
      <c r="M35">
        <v>5</v>
      </c>
      <c r="N35">
        <v>6</v>
      </c>
      <c r="O35">
        <v>30</v>
      </c>
    </row>
    <row r="36" spans="11:15" ht="15" x14ac:dyDescent="0.2">
      <c r="K36" s="11" t="s">
        <v>212</v>
      </c>
      <c r="L36" s="11" t="s">
        <v>70</v>
      </c>
      <c r="M36">
        <v>5</v>
      </c>
      <c r="N36">
        <v>8</v>
      </c>
      <c r="O36">
        <v>40</v>
      </c>
    </row>
    <row r="37" spans="11:15" ht="15" x14ac:dyDescent="0.2">
      <c r="K37" s="11" t="s">
        <v>213</v>
      </c>
      <c r="L37" s="11" t="s">
        <v>76</v>
      </c>
      <c r="M37">
        <v>1</v>
      </c>
      <c r="N37">
        <v>9</v>
      </c>
      <c r="O37">
        <v>9</v>
      </c>
    </row>
    <row r="38" spans="11:15" ht="15" x14ac:dyDescent="0.2">
      <c r="K38" s="11" t="s">
        <v>214</v>
      </c>
      <c r="L38" s="11" t="s">
        <v>40</v>
      </c>
      <c r="M38">
        <v>3</v>
      </c>
      <c r="N38">
        <v>1</v>
      </c>
      <c r="O38">
        <v>3</v>
      </c>
    </row>
    <row r="39" spans="11:15" ht="15" x14ac:dyDescent="0.2">
      <c r="K39" s="11" t="s">
        <v>215</v>
      </c>
      <c r="L39" s="11" t="s">
        <v>56</v>
      </c>
      <c r="M39">
        <v>3</v>
      </c>
      <c r="N39">
        <v>2</v>
      </c>
      <c r="O39">
        <v>6</v>
      </c>
    </row>
    <row r="40" spans="11:15" ht="15" x14ac:dyDescent="0.2">
      <c r="K40" s="11" t="s">
        <v>216</v>
      </c>
      <c r="L40" s="11" t="s">
        <v>61</v>
      </c>
      <c r="M40">
        <v>3</v>
      </c>
      <c r="N40">
        <v>4</v>
      </c>
      <c r="O40">
        <v>12</v>
      </c>
    </row>
    <row r="41" spans="11:15" ht="15" x14ac:dyDescent="0.2">
      <c r="K41" s="11" t="s">
        <v>217</v>
      </c>
      <c r="L41" s="11" t="s">
        <v>65</v>
      </c>
      <c r="M41">
        <v>3</v>
      </c>
      <c r="N41">
        <v>6</v>
      </c>
      <c r="O41">
        <v>18</v>
      </c>
    </row>
    <row r="42" spans="11:15" ht="15" x14ac:dyDescent="0.2">
      <c r="K42" s="11" t="s">
        <v>218</v>
      </c>
      <c r="L42" s="11" t="s">
        <v>71</v>
      </c>
      <c r="M42">
        <v>5</v>
      </c>
      <c r="N42">
        <v>8</v>
      </c>
      <c r="O42">
        <v>40</v>
      </c>
    </row>
    <row r="43" spans="11:15" ht="15" x14ac:dyDescent="0.2">
      <c r="K43" s="11" t="s">
        <v>219</v>
      </c>
      <c r="L43" s="11" t="s">
        <v>24</v>
      </c>
      <c r="M43">
        <v>3</v>
      </c>
      <c r="N43">
        <v>9</v>
      </c>
      <c r="O43">
        <v>27</v>
      </c>
    </row>
  </sheetData>
  <mergeCells count="12">
    <mergeCell ref="D10:H10"/>
    <mergeCell ref="A13:E13"/>
    <mergeCell ref="B2:B3"/>
    <mergeCell ref="E9:F9"/>
    <mergeCell ref="B4:B5"/>
    <mergeCell ref="B6:B7"/>
    <mergeCell ref="G9:H9"/>
    <mergeCell ref="A14:C14"/>
    <mergeCell ref="A15:C15"/>
    <mergeCell ref="A16:C16"/>
    <mergeCell ref="A17:C17"/>
    <mergeCell ref="A2:A7"/>
  </mergeCells>
  <phoneticPr fontId="10" type="noConversion"/>
  <conditionalFormatting sqref="L11:N11 L12:L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RiskRegister1</vt:lpstr>
      <vt:lpstr>RiskRegister2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 Zixin</cp:lastModifiedBy>
  <dcterms:created xsi:type="dcterms:W3CDTF">2026-03-11T10:35:56Z</dcterms:created>
  <dcterms:modified xsi:type="dcterms:W3CDTF">2026-03-11T14:42:41Z</dcterms:modified>
</cp:coreProperties>
</file>